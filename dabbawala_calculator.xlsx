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<sst xmlns="http://schemas.openxmlformats.org/spreadsheetml/2006/main" count="57" uniqueCount="56">
  <si>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Mumbai Dabbawalas - Inputs</t>
  </si>
  <si>
    <t xml:space="preserve">Yellow/blue cells are inputs you can change. The Calculator sheet updates automatically.</t>
  </si>
  <si>
    <t xml:space="preserve">Input</t>
  </si>
  <si>
    <t xml:space="preserve">Value</t>
  </si>
  <si>
    <t xml:space="preserve">Source / note</t>
  </si>
  <si>
    <t xml:space="preserve">Lunchboxes delivered per day</t>
  </si>
  <si>
    <t xml:space="preserve">Medium (The Lunchtime Miracle); Wikipedia gives a range of 175,000-200,000</t>
  </si>
  <si>
    <t xml:space="preserve">Number of dabbawalas</t>
  </si>
  <si>
    <t xml:space="preserve">Medium; Wikipedia gives 4,500-5,000</t>
  </si>
  <si>
    <t xml:space="preserve">Average group size (people)</t>
  </si>
  <si>
    <t xml:space="preserve">ISSSP: autonomous groups of about 20</t>
  </si>
  <si>
    <t xml:space="preserve">Handoffs per box per day (there and back)</t>
  </si>
  <si>
    <t xml:space="preserve">ISSSP: at least 6 handoffs each way</t>
  </si>
  <si>
    <t xml:space="preserve">Working days per year</t>
  </si>
  <si>
    <t xml:space="preserve">MY ASSUMPTION (about 5 days x 50 weeks)</t>
  </si>
  <si>
    <t xml:space="preserve">Claimed error rate: 1 error in N boxes (common figure)</t>
  </si>
  <si>
    <t xml:space="preserve">Often quoted; an estimate by the association president in 1998, not a rigorous study (Wikipedia)</t>
  </si>
  <si>
    <t xml:space="preserve">Claimed error rate: 1 error in N boxes (other figure)</t>
  </si>
  <si>
    <t xml:space="preserve">Also widely quoted; same caveat</t>
  </si>
  <si>
    <t xml:space="preserve">Six Sigma benchmark (defects per million)</t>
  </si>
  <si>
    <t xml:space="preserve">Standard Six Sigma definition</t>
  </si>
  <si>
    <t xml:space="preserve">What-if error rate 1: 1 error in N boxes</t>
  </si>
  <si>
    <t xml:space="preserve">MY WHAT-IF, for testing the claim</t>
  </si>
  <si>
    <t xml:space="preserve">What-if error rate 2: 1 error in N boxes</t>
  </si>
  <si>
    <t xml:space="preserve">Assumption: each error rate is applied per lunchbox delivered (the sources do not say exactly what unit the rate counts).</t>
  </si>
  <si>
    <t xml:space="preserve">Mumbai Dabbawalas - Calculator</t>
  </si>
  <si>
    <t xml:space="preserve">All cells are formulas linked to the Inputs sheet.</t>
  </si>
  <si>
    <t xml:space="preserve">Part 1: Workload</t>
  </si>
  <si>
    <t xml:space="preserve">Result</t>
  </si>
  <si>
    <t xml:space="preserve">How it is calculated</t>
  </si>
  <si>
    <t xml:space="preserve">Boxes per dabbawala per day</t>
  </si>
  <si>
    <t xml:space="preserve">Boxes per day / dabbawalas</t>
  </si>
  <si>
    <t xml:space="preserve">Number of groups</t>
  </si>
  <si>
    <t xml:space="preserve">Dabbawalas / group size</t>
  </si>
  <si>
    <t xml:space="preserve">Boxes per group per day</t>
  </si>
  <si>
    <t xml:space="preserve">Boxes per day / groups</t>
  </si>
  <si>
    <t xml:space="preserve">Handoffs per day (all boxes)</t>
  </si>
  <si>
    <t xml:space="preserve">Boxes per day x handoffs per box</t>
  </si>
  <si>
    <t xml:space="preserve">Boxes delivered per year</t>
  </si>
  <si>
    <t xml:space="preserve">Boxes per day x working days</t>
  </si>
  <si>
    <t xml:space="preserve">Part 2: Test the error claim</t>
  </si>
  <si>
    <t xml:space="preserve">1 error in N boxes</t>
  </si>
  <si>
    <t xml:space="preserve">Errors per day</t>
  </si>
  <si>
    <t xml:space="preserve">Errors per year</t>
  </si>
  <si>
    <t xml:space="preserve">Defects per million</t>
  </si>
  <si>
    <t xml:space="preserve">Accuracy</t>
  </si>
  <si>
    <t xml:space="preserve">Meets Six Sigma?</t>
  </si>
  <si>
    <t xml:space="preserve">Claim: 1 in 16 million</t>
  </si>
  <si>
    <t xml:space="preserve">Claim: 1 in 6 million</t>
  </si>
  <si>
    <t xml:space="preserve">Exactly the Six Sigma limit</t>
  </si>
  <si>
    <t xml:space="preserve">What-if 1</t>
  </si>
  <si>
    <t xml:space="preserve">What-if 2</t>
  </si>
  <si>
    <t xml:space="preserve">What this shows</t>
  </si>
  <si>
    <t xml:space="preserve">Even at the Six Sigma limit the system makes less than one error a day on this volume, so the claim is impressive but not impossible.</t>
  </si>
  <si>
    <t xml:space="preserve">The What-if rows show the real error rate could be far worse than the claim and the system would still look very reliable.</t>
  </si>
  <si>
    <t xml:space="preserve">That is why the claim is hard to verify: nobody has measured it rigorously.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</si>
</sst>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"/>
    <numFmt numFmtId="167" formatCode="#,##0.0"/>
    <numFmt numFmtId="168" formatCode="0.000"/>
    <numFmt numFmtId="169" formatCode="#,##0.00"/>
    <numFmt numFmtId="170" formatCode="0.000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200000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5000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20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12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250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6000000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16000000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7" t="n">
        <v>3.4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5" t="n">
        <v>100000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5" t="n">
        <v>10000</v>
      </c>
      <c r="C14" s="6" t="s">
        <v>22</v>
      </c>
    </row>
    <row r="16" customFormat="false" ht="15" hidden="false" customHeight="false" outlineLevel="0" collapsed="false">
      <c r="A16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7" min="4" style="0" width="2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</row>
    <row r="5" customFormat="false" ht="15" hidden="false" customHeight="false" outlineLevel="0" collapsed="false">
      <c r="A5" s="4" t="s">
        <v>30</v>
      </c>
      <c r="B5" s="8" t="n">
        <f aca="false">Inputs!B5/Inputs!B6</f>
        <v>40</v>
      </c>
      <c r="C5" s="6" t="s">
        <v>31</v>
      </c>
    </row>
    <row r="6" customFormat="false" ht="15" hidden="false" customHeight="false" outlineLevel="0" collapsed="false">
      <c r="A6" s="4" t="s">
        <v>32</v>
      </c>
      <c r="B6" s="9" t="n">
        <f aca="false">Inputs!B6/Inputs!B7</f>
        <v>250</v>
      </c>
      <c r="C6" s="6" t="s">
        <v>33</v>
      </c>
    </row>
    <row r="7" customFormat="false" ht="15" hidden="false" customHeight="false" outlineLevel="0" collapsed="false">
      <c r="A7" s="4" t="s">
        <v>34</v>
      </c>
      <c r="B7" s="9" t="n">
        <f aca="false">Inputs!B5/B6</f>
        <v>800</v>
      </c>
      <c r="C7" s="6" t="s">
        <v>35</v>
      </c>
    </row>
    <row r="8" customFormat="false" ht="15" hidden="false" customHeight="false" outlineLevel="0" collapsed="false">
      <c r="A8" s="4" t="s">
        <v>36</v>
      </c>
      <c r="B8" s="9" t="n">
        <f aca="false">Inputs!B5*Inputs!B8</f>
        <v>2400000</v>
      </c>
      <c r="C8" s="6" t="s">
        <v>37</v>
      </c>
    </row>
    <row r="9" customFormat="false" ht="15" hidden="false" customHeight="false" outlineLevel="0" collapsed="false">
      <c r="A9" s="4" t="s">
        <v>38</v>
      </c>
      <c r="B9" s="9" t="n">
        <f aca="false">Inputs!B5*Inputs!B9</f>
        <v>50000000</v>
      </c>
      <c r="C9" s="6" t="s">
        <v>39</v>
      </c>
    </row>
    <row r="11" customFormat="false" ht="30" hidden="false" customHeight="true" outlineLevel="0" collapsed="false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46</v>
      </c>
    </row>
    <row r="12" customFormat="false" ht="15" hidden="false" customHeight="false" outlineLevel="0" collapsed="false">
      <c r="A12" s="4" t="s">
        <v>47</v>
      </c>
      <c r="B12" s="10" t="n">
        <f aca="false">Inputs!B11</f>
        <v>16000000</v>
      </c>
      <c r="C12" s="11" t="n">
        <f aca="false">Inputs!$B$5/B12</f>
        <v>0.0125</v>
      </c>
      <c r="D12" s="12" t="n">
        <f aca="false">C12*Inputs!$B$9</f>
        <v>3.125</v>
      </c>
      <c r="E12" s="13" t="n">
        <f aca="false">1000000/B12</f>
        <v>0.0625</v>
      </c>
      <c r="F12" s="14" t="n">
        <f aca="false">1-1/B12</f>
        <v>0.9999999375</v>
      </c>
      <c r="G12" s="15" t="str">
        <f aca="false">IF(ROUND(E12,2)&lt;=Inputs!$B$12,"Yes","No")</f>
        <v>Yes</v>
      </c>
    </row>
    <row r="13" customFormat="false" ht="15" hidden="false" customHeight="false" outlineLevel="0" collapsed="false">
      <c r="A13" s="4" t="s">
        <v>48</v>
      </c>
      <c r="B13" s="10" t="n">
        <f aca="false">Inputs!B10</f>
        <v>6000000</v>
      </c>
      <c r="C13" s="11" t="n">
        <f aca="false">Inputs!$B$5/B13</f>
        <v>0.0333333333333333</v>
      </c>
      <c r="D13" s="12" t="n">
        <f aca="false">C13*Inputs!$B$9</f>
        <v>8.33333333333333</v>
      </c>
      <c r="E13" s="13" t="n">
        <f aca="false">1000000/B13</f>
        <v>0.166666666666667</v>
      </c>
      <c r="F13" s="14" t="n">
        <f aca="false">1-1/B13</f>
        <v>0.999999833333333</v>
      </c>
      <c r="G13" s="15" t="str">
        <f aca="false">IF(ROUND(E13,2)&lt;=Inputs!$B$12,"Yes","No")</f>
        <v>Yes</v>
      </c>
    </row>
    <row r="14" customFormat="false" ht="15" hidden="false" customHeight="false" outlineLevel="0" collapsed="false">
      <c r="A14" s="4" t="s">
        <v>49</v>
      </c>
      <c r="B14" s="10" t="n">
        <f aca="false">1000000/Inputs!B12</f>
        <v>294117.647058824</v>
      </c>
      <c r="C14" s="11" t="n">
        <f aca="false">Inputs!$B$5/B14</f>
        <v>0.68</v>
      </c>
      <c r="D14" s="12" t="n">
        <f aca="false">C14*Inputs!$B$9</f>
        <v>170</v>
      </c>
      <c r="E14" s="13" t="n">
        <f aca="false">1000000/B14</f>
        <v>3.4</v>
      </c>
      <c r="F14" s="14" t="n">
        <f aca="false">1-1/B14</f>
        <v>0.9999966</v>
      </c>
      <c r="G14" s="15" t="str">
        <f aca="false">IF(ROUND(E14,2)&lt;=Inputs!$B$12,"Yes","No")</f>
        <v>Yes</v>
      </c>
    </row>
    <row r="15" customFormat="false" ht="15" hidden="false" customHeight="false" outlineLevel="0" collapsed="false">
      <c r="A15" s="4" t="s">
        <v>50</v>
      </c>
      <c r="B15" s="10" t="n">
        <f aca="false">Inputs!B13</f>
        <v>100000</v>
      </c>
      <c r="C15" s="11" t="n">
        <f aca="false">Inputs!$B$5/B15</f>
        <v>2</v>
      </c>
      <c r="D15" s="12" t="n">
        <f aca="false">C15*Inputs!$B$9</f>
        <v>500</v>
      </c>
      <c r="E15" s="13" t="n">
        <f aca="false">1000000/B15</f>
        <v>10</v>
      </c>
      <c r="F15" s="14" t="n">
        <f aca="false">1-1/B15</f>
        <v>0.99999</v>
      </c>
      <c r="G15" s="15" t="str">
        <f aca="false">IF(ROUND(E15,2)&lt;=Inputs!$B$12,"Yes","No")</f>
        <v>No</v>
      </c>
    </row>
    <row r="16" customFormat="false" ht="15" hidden="false" customHeight="false" outlineLevel="0" collapsed="false">
      <c r="A16" s="4" t="s">
        <v>51</v>
      </c>
      <c r="B16" s="10" t="n">
        <f aca="false">Inputs!B14</f>
        <v>10000</v>
      </c>
      <c r="C16" s="11" t="n">
        <f aca="false">Inputs!$B$5/B16</f>
        <v>20</v>
      </c>
      <c r="D16" s="12" t="n">
        <f aca="false">C16*Inputs!$B$9</f>
        <v>5000</v>
      </c>
      <c r="E16" s="13" t="n">
        <f aca="false">1000000/B16</f>
        <v>100</v>
      </c>
      <c r="F16" s="14" t="n">
        <f aca="false">1-1/B16</f>
        <v>0.9999</v>
      </c>
      <c r="G16" s="15" t="str">
        <f aca="false">IF(ROUND(E16,2)&lt;=Inputs!$B$12,"Yes","No")</f>
        <v>No</v>
      </c>
    </row>
    <row r="18" customFormat="false" ht="15" hidden="false" customHeight="false" outlineLevel="0" collapsed="false">
      <c r="A18" s="16" t="s">
        <v>52</v>
      </c>
    </row>
    <row r="19" customFormat="false" ht="15" hidden="false" customHeight="false" outlineLevel="0" collapsed="false">
      <c r="A19" s="17" t="s">
        <v>53</v>
      </c>
    </row>
    <row r="20" customFormat="false" ht="15" hidden="false" customHeight="false" outlineLevel="0" collapsed="false">
      <c r="A20" s="17" t="s">
        <v>54</v>
      </c>
    </row>
    <row r="21" customFormat="false" ht="15" hidden="false" customHeight="false" outlineLevel="0" collapsed="false">
      <c r="A21" s="1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2026-10-12T19:55:02Z</dcterms:created>
  <dc:creator>openpyxl</dc:creator>
  <dc:description/>
  <dc:language>en-US</dc:language>
  <cp:lastModifiedBy/>
  <dcterms:modified xsi:type="dcterms:W3CDTF">2026-10-12T19:55:02Z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